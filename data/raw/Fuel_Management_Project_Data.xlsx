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BF Gas Details" sheetId="2" state="visible" r:id="rId2"/>
    <sheet xmlns:r="http://schemas.openxmlformats.org/officeDocument/2006/relationships" name="CO Gas Details" sheetId="3" state="visible" r:id="rId3"/>
    <sheet xmlns:r="http://schemas.openxmlformats.org/officeDocument/2006/relationships" name="LD Gas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FFFFFF"/>
      <sz val="11"/>
    </font>
    <font>
      <name val="Segoe UI"/>
      <color rgb="00000000"/>
      <sz val="11"/>
    </font>
    <font>
      <name val="Segoe UI"/>
      <b val="1"/>
      <color rgb="00000000"/>
      <sz val="11"/>
    </font>
    <font>
      <name val="Segoe UI"/>
      <b val="1"/>
      <color rgb="001F497D"/>
      <sz val="12"/>
    </font>
    <font>
      <name val="Segoe UI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right"/>
    </xf>
    <xf numFmtId="0" fontId="4" fillId="3" borderId="2" pivotButton="0" quotePrefix="0" xfId="0"/>
    <xf numFmtId="3" fontId="4" fillId="3" borderId="2" applyAlignment="1" pivotButton="0" quotePrefix="0" xfId="0">
      <alignment horizontal="right"/>
    </xf>
    <xf numFmtId="0" fontId="5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4" fillId="0" borderId="0" pivotButton="0" quotePrefix="0" xfId="0"/>
    <xf numFmtId="3" fontId="0" fillId="3" borderId="2" applyAlignment="1" pivotButton="0" quotePrefix="0" xfId="0">
      <alignment horizontal="right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20" customWidth="1" min="2" max="2"/>
    <col width="21" customWidth="1" min="3" max="3"/>
    <col width="21" customWidth="1" min="4" max="4"/>
  </cols>
  <sheetData>
    <row r="1">
      <c r="A1" s="1" t="inlineStr">
        <is>
          <t>Fuel Management Project - Byproduct Gas Summary</t>
        </is>
      </c>
    </row>
    <row r="2"/>
    <row r="3">
      <c r="A3" s="2" t="inlineStr">
        <is>
          <t>Gas Type</t>
        </is>
      </c>
      <c r="B3" s="2" t="inlineStr">
        <is>
          <t>Total Generation</t>
        </is>
      </c>
      <c r="C3" s="2" t="inlineStr">
        <is>
          <t>Total Consumption</t>
        </is>
      </c>
      <c r="D3" s="2" t="inlineStr">
        <is>
          <t>Surplus / Deficit</t>
        </is>
      </c>
    </row>
    <row r="4">
      <c r="A4" s="3" t="inlineStr">
        <is>
          <t>BF Gas (Blast Furnace Gas)</t>
        </is>
      </c>
      <c r="B4" s="4">
        <f>'BF Gas Details'!B11</f>
        <v/>
      </c>
      <c r="C4" s="4">
        <f>'BF Gas Details'!C24</f>
        <v/>
      </c>
      <c r="D4" s="4">
        <f>B4-C4</f>
        <v/>
      </c>
    </row>
    <row r="5">
      <c r="A5" s="3" t="inlineStr">
        <is>
          <t>CO Gas (Coke Oven Gas)</t>
        </is>
      </c>
      <c r="B5" s="4">
        <f>'CO Gas Details'!C7</f>
        <v/>
      </c>
      <c r="C5" s="4">
        <f>'CO Gas Details'!C29</f>
        <v/>
      </c>
      <c r="D5" s="4">
        <f>B5-C5</f>
        <v/>
      </c>
    </row>
    <row r="6">
      <c r="A6" s="3" t="inlineStr">
        <is>
          <t>LD Gas (Linz-Donawitz Gas)</t>
        </is>
      </c>
      <c r="B6" s="4">
        <f>'LD Gas Details'!C7</f>
        <v/>
      </c>
      <c r="C6" s="4" t="n">
        <v>0</v>
      </c>
      <c r="D6" s="4">
        <f>B6-C6</f>
        <v/>
      </c>
    </row>
    <row r="7">
      <c r="A7" s="5" t="inlineStr">
        <is>
          <t>Total Byproduct Gas</t>
        </is>
      </c>
      <c r="B7" s="6">
        <f>SUM(B4:B6)</f>
        <v/>
      </c>
      <c r="C7" s="6">
        <f>SUM(C4:C6)</f>
        <v/>
      </c>
      <c r="D7" s="6">
        <f>SUM(D4:D6)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</cols>
  <sheetData>
    <row r="1">
      <c r="A1" s="7" t="inlineStr">
        <is>
          <t>BF Gas Overview (Blast Furnace Gas)</t>
        </is>
      </c>
    </row>
    <row r="2"/>
    <row r="3">
      <c r="A3" s="8" t="inlineStr">
        <is>
          <t>1. Generation &amp; Internal Consumption at Blast Furnaces</t>
        </is>
      </c>
    </row>
    <row r="4">
      <c r="A4" s="9" t="inlineStr">
        <is>
          <t>Blast Furnace</t>
        </is>
      </c>
      <c r="B4" s="9" t="inlineStr">
        <is>
          <t>Generation</t>
        </is>
      </c>
      <c r="C4" s="9" t="inlineStr">
        <is>
          <t>Consumption</t>
        </is>
      </c>
    </row>
    <row r="5">
      <c r="A5" s="10" t="inlineStr">
        <is>
          <t>Furnace I</t>
        </is>
      </c>
      <c r="B5" s="4" t="n">
        <v>465000</v>
      </c>
      <c r="C5" s="4" t="n">
        <v>194000</v>
      </c>
    </row>
    <row r="6">
      <c r="A6" s="10" t="inlineStr">
        <is>
          <t>Furnace H</t>
        </is>
      </c>
      <c r="B6" s="4" t="n">
        <v>450000</v>
      </c>
      <c r="C6" s="4" t="n">
        <v>115000</v>
      </c>
    </row>
    <row r="7">
      <c r="A7" s="10" t="inlineStr">
        <is>
          <t>Furnace G</t>
        </is>
      </c>
      <c r="B7" s="4" t="n">
        <v>322000</v>
      </c>
      <c r="C7" s="4" t="n">
        <v>90000</v>
      </c>
    </row>
    <row r="8">
      <c r="A8" s="10" t="inlineStr">
        <is>
          <t>Furnace F</t>
        </is>
      </c>
      <c r="B8" s="4" t="n">
        <v>240000</v>
      </c>
      <c r="C8" s="4" t="n">
        <v>80000</v>
      </c>
    </row>
    <row r="9">
      <c r="A9" s="10" t="inlineStr">
        <is>
          <t>Furnace E</t>
        </is>
      </c>
      <c r="B9" s="4" t="n">
        <v>82200</v>
      </c>
      <c r="C9" s="4" t="n">
        <v>25000</v>
      </c>
    </row>
    <row r="10">
      <c r="A10" s="10" t="inlineStr">
        <is>
          <t>Furnace C</t>
        </is>
      </c>
      <c r="B10" s="4" t="n">
        <v>162000</v>
      </c>
      <c r="C10" s="4" t="n">
        <v>32000</v>
      </c>
    </row>
    <row r="11">
      <c r="A11" s="5" t="inlineStr">
        <is>
          <t>Total BF Generation / Cons.</t>
        </is>
      </c>
      <c r="B11" s="6">
        <f>SUM(B5:B10)</f>
        <v/>
      </c>
      <c r="C11" s="6">
        <f>SUM(C5:C10)</f>
        <v/>
      </c>
    </row>
    <row r="12"/>
    <row r="13">
      <c r="A13" s="8" t="inlineStr">
        <is>
          <t>2. Other Consumptions</t>
        </is>
      </c>
    </row>
    <row r="14">
      <c r="A14" s="9" t="inlineStr">
        <is>
          <t>Consumer / Plant Area</t>
        </is>
      </c>
      <c r="B14" s="9" t="inlineStr">
        <is>
          <t>Consumption</t>
        </is>
      </c>
    </row>
    <row r="15">
      <c r="A15" s="10" t="inlineStr">
        <is>
          <t>HSM Mill</t>
        </is>
      </c>
      <c r="B15" s="4" t="n">
        <v>75000</v>
      </c>
    </row>
    <row r="16">
      <c r="A16" s="10" t="inlineStr">
        <is>
          <t>Pellet Plant</t>
        </is>
      </c>
      <c r="B16" s="4" t="n">
        <v>60000</v>
      </c>
    </row>
    <row r="17">
      <c r="A17" s="10" t="inlineStr">
        <is>
          <t>TSCR</t>
        </is>
      </c>
      <c r="B17" s="4" t="n">
        <v>10000</v>
      </c>
    </row>
    <row r="18">
      <c r="A18" s="10" t="inlineStr">
        <is>
          <t>LCP</t>
        </is>
      </c>
      <c r="B18" s="4" t="n">
        <v>15000</v>
      </c>
    </row>
    <row r="19">
      <c r="A19" s="10" t="inlineStr">
        <is>
          <t>Coke Plant</t>
        </is>
      </c>
      <c r="B19" s="4" t="n">
        <v>270000</v>
      </c>
    </row>
    <row r="20">
      <c r="A20" s="10" t="inlineStr">
        <is>
          <t>PH #3</t>
        </is>
      </c>
      <c r="B20" s="4" t="n">
        <v>190000</v>
      </c>
    </row>
    <row r="21">
      <c r="A21" s="10" t="inlineStr">
        <is>
          <t>PH #4</t>
        </is>
      </c>
      <c r="B21" s="4" t="n">
        <v>150000</v>
      </c>
    </row>
    <row r="22">
      <c r="A22" s="10" t="inlineStr">
        <is>
          <t>PH #5</t>
        </is>
      </c>
      <c r="B22" s="4" t="n">
        <v>130000</v>
      </c>
    </row>
    <row r="23">
      <c r="A23" s="10" t="inlineStr">
        <is>
          <t>PH #6</t>
        </is>
      </c>
      <c r="B23" s="4" t="n">
        <v>300000</v>
      </c>
    </row>
    <row r="24">
      <c r="A24" s="5" t="inlineStr">
        <is>
          <t>Grand Total Consumption</t>
        </is>
      </c>
      <c r="B24" s="6" t="inlineStr"/>
      <c r="C24" s="6">
        <f>C11+B25</f>
        <v/>
      </c>
      <c r="D24" s="11">
        <f>C11+B25</f>
        <v/>
      </c>
    </row>
    <row r="25">
      <c r="A25" s="5" t="inlineStr">
        <is>
          <t>Total Other Consumption</t>
        </is>
      </c>
      <c r="B25" s="12">
        <f>SUM(B15:B24)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16" customWidth="1" min="3" max="3"/>
  </cols>
  <sheetData>
    <row r="1">
      <c r="A1" s="7" t="inlineStr">
        <is>
          <t>CO Gas Overview (Coke Oven Gas)</t>
        </is>
      </c>
    </row>
    <row r="2"/>
    <row r="3">
      <c r="A3" s="8" t="inlineStr">
        <is>
          <t>1. Generation</t>
        </is>
      </c>
    </row>
    <row r="4">
      <c r="A4" s="9" t="inlineStr">
        <is>
          <t>Batteries</t>
        </is>
      </c>
      <c r="B4" s="9" t="inlineStr">
        <is>
          <t>Plant / Source</t>
        </is>
      </c>
      <c r="C4" s="9" t="inlineStr">
        <is>
          <t>Generation</t>
        </is>
      </c>
    </row>
    <row r="5">
      <c r="A5" s="10" t="inlineStr">
        <is>
          <t>Batt 8, Batt 9</t>
        </is>
      </c>
      <c r="B5" s="10" t="inlineStr">
        <is>
          <t>Old BPP</t>
        </is>
      </c>
      <c r="C5" s="4" t="n">
        <v>62000</v>
      </c>
    </row>
    <row r="6">
      <c r="A6" s="10" t="inlineStr">
        <is>
          <t>Batt 10, Batt 11</t>
        </is>
      </c>
      <c r="B6" s="10" t="inlineStr">
        <is>
          <t>New BPP</t>
        </is>
      </c>
      <c r="C6" s="4" t="n">
        <v>80000</v>
      </c>
    </row>
    <row r="7">
      <c r="A7" s="5" t="inlineStr">
        <is>
          <t>Total CO Generation</t>
        </is>
      </c>
      <c r="B7" s="5" t="n"/>
      <c r="C7" s="6">
        <f>SUM(C5:C6)</f>
        <v/>
      </c>
    </row>
    <row r="8"/>
    <row r="9">
      <c r="A9" s="8" t="inlineStr">
        <is>
          <t>2. Consumption</t>
        </is>
      </c>
    </row>
    <row r="10">
      <c r="A10" s="9" t="inlineStr">
        <is>
          <t>Sl No.</t>
        </is>
      </c>
      <c r="B10" s="9" t="inlineStr">
        <is>
          <t>Consumer / Plant Area</t>
        </is>
      </c>
      <c r="C10" s="9" t="inlineStr">
        <is>
          <t>Consumption</t>
        </is>
      </c>
    </row>
    <row r="11">
      <c r="A11" s="13" t="n">
        <v>1</v>
      </c>
      <c r="B11" s="10" t="inlineStr">
        <is>
          <t>Mergemill (1-7)</t>
        </is>
      </c>
      <c r="C11" s="4" t="n">
        <v>3000</v>
      </c>
    </row>
    <row r="12">
      <c r="A12" s="13" t="n">
        <v>2</v>
      </c>
      <c r="B12" s="10" t="inlineStr">
        <is>
          <t>Mergemill (8-9)</t>
        </is>
      </c>
      <c r="C12" s="4" t="n">
        <v>8000</v>
      </c>
    </row>
    <row r="13">
      <c r="A13" s="13" t="n">
        <v>3</v>
      </c>
      <c r="B13" s="10" t="inlineStr">
        <is>
          <t>CRM (Cold Rolling Mill)</t>
        </is>
      </c>
      <c r="C13" s="4" t="n">
        <v>7000</v>
      </c>
    </row>
    <row r="14">
      <c r="A14" s="13" t="n">
        <v>4</v>
      </c>
      <c r="B14" s="10" t="inlineStr">
        <is>
          <t>MM (Merchant Mill)</t>
        </is>
      </c>
      <c r="C14" s="4" t="n">
        <v>4000</v>
      </c>
    </row>
    <row r="15">
      <c r="A15" s="13" t="n">
        <v>5</v>
      </c>
      <c r="B15" s="10" t="inlineStr">
        <is>
          <t>WRM</t>
        </is>
      </c>
      <c r="C15" s="4" t="n">
        <v>3000</v>
      </c>
    </row>
    <row r="16">
      <c r="A16" s="13" t="n">
        <v>6</v>
      </c>
      <c r="B16" s="10" t="inlineStr">
        <is>
          <t>HSM</t>
        </is>
      </c>
      <c r="C16" s="4" t="n">
        <v>30000</v>
      </c>
    </row>
    <row r="17">
      <c r="A17" s="13" t="n">
        <v>7</v>
      </c>
      <c r="B17" s="10" t="inlineStr">
        <is>
          <t>TsCR</t>
        </is>
      </c>
      <c r="C17" s="4" t="n">
        <v>8000</v>
      </c>
    </row>
    <row r="18">
      <c r="A18" s="13" t="n">
        <v>8</v>
      </c>
      <c r="B18" s="10" t="inlineStr">
        <is>
          <t>SP (1-4)</t>
        </is>
      </c>
      <c r="C18" s="4" t="n">
        <v>1200</v>
      </c>
    </row>
    <row r="19">
      <c r="A19" s="13" t="n">
        <v>9</v>
      </c>
      <c r="B19" s="10" t="inlineStr">
        <is>
          <t>Pellet Plant</t>
        </is>
      </c>
      <c r="C19" s="4" t="n">
        <v>18000</v>
      </c>
    </row>
    <row r="20">
      <c r="A20" s="13" t="n">
        <v>10</v>
      </c>
      <c r="B20" s="10" t="inlineStr">
        <is>
          <t>TPL</t>
        </is>
      </c>
      <c r="C20" s="4" t="n">
        <v>7000</v>
      </c>
    </row>
    <row r="21">
      <c r="A21" s="13" t="n">
        <v>11</v>
      </c>
      <c r="B21" s="10" t="inlineStr">
        <is>
          <t>CAPL</t>
        </is>
      </c>
      <c r="C21" s="4" t="n">
        <v>6000</v>
      </c>
    </row>
    <row r="22">
      <c r="A22" s="13" t="n">
        <v>12</v>
      </c>
      <c r="B22" s="10" t="inlineStr">
        <is>
          <t>Tube Divsn.</t>
        </is>
      </c>
      <c r="C22" s="4" t="n">
        <v>1500</v>
      </c>
    </row>
    <row r="23">
      <c r="A23" s="13" t="n">
        <v>13</v>
      </c>
      <c r="B23" s="10" t="inlineStr">
        <is>
          <t>PH 3</t>
        </is>
      </c>
      <c r="C23" s="4" t="n">
        <v>1100</v>
      </c>
    </row>
    <row r="24">
      <c r="A24" s="13" t="n">
        <v>14</v>
      </c>
      <c r="B24" s="10" t="inlineStr">
        <is>
          <t>PH 4</t>
        </is>
      </c>
      <c r="C24" s="4" t="n">
        <v>22000</v>
      </c>
    </row>
    <row r="25">
      <c r="A25" s="13" t="n">
        <v>15</v>
      </c>
      <c r="B25" s="10" t="inlineStr">
        <is>
          <t>PH 5</t>
        </is>
      </c>
      <c r="C25" s="4" t="n">
        <v>2000</v>
      </c>
    </row>
    <row r="26">
      <c r="A26" s="13" t="n">
        <v>16</v>
      </c>
      <c r="B26" s="10" t="inlineStr">
        <is>
          <t>PH 6</t>
        </is>
      </c>
      <c r="C26" s="4" t="n">
        <v>3000</v>
      </c>
    </row>
    <row r="27">
      <c r="A27" s="13" t="n">
        <v>17</v>
      </c>
      <c r="B27" s="10" t="inlineStr">
        <is>
          <t>PH 7</t>
        </is>
      </c>
      <c r="C27" s="4" t="n">
        <v>5000</v>
      </c>
    </row>
    <row r="28">
      <c r="A28" s="13" t="n">
        <v>18</v>
      </c>
      <c r="B28" s="10" t="inlineStr">
        <is>
          <t>BF Total (800 x 6)</t>
        </is>
      </c>
      <c r="C28" s="4" t="n">
        <v>4800</v>
      </c>
    </row>
    <row r="29">
      <c r="A29" s="5" t="n"/>
      <c r="B29" s="5" t="inlineStr">
        <is>
          <t>Total CO Consumption</t>
        </is>
      </c>
      <c r="C29" s="6">
        <f>SUM(C11:C28)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16" customWidth="1" min="3" max="3"/>
  </cols>
  <sheetData>
    <row r="1">
      <c r="A1" s="7" t="inlineStr">
        <is>
          <t>LD Gas Overview (Linz-Donawitz Gas)</t>
        </is>
      </c>
    </row>
    <row r="2"/>
    <row r="3">
      <c r="A3" s="8" t="inlineStr">
        <is>
          <t>1. Generation</t>
        </is>
      </c>
    </row>
    <row r="4">
      <c r="B4" s="9" t="inlineStr">
        <is>
          <t>Plant / Source</t>
        </is>
      </c>
      <c r="C4" s="9" t="inlineStr">
        <is>
          <t>Generation</t>
        </is>
      </c>
    </row>
    <row r="5">
      <c r="B5" s="10" t="inlineStr">
        <is>
          <t>LD-1 &amp; LD-3</t>
        </is>
      </c>
      <c r="C5" s="4" t="n">
        <v>85000</v>
      </c>
    </row>
    <row r="6">
      <c r="B6" s="10" t="inlineStr">
        <is>
          <t>LD-2</t>
        </is>
      </c>
      <c r="C6" s="4" t="n">
        <v>65000</v>
      </c>
    </row>
    <row r="7">
      <c r="B7" s="5" t="inlineStr">
        <is>
          <t>Total LD Generation</t>
        </is>
      </c>
      <c r="C7" s="12">
        <f>SUM(C5:C6)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2026-07-12T07:35:07Z</dcterms:created>
  <dcterms:modified xmlns:dcterms="http://purl.org/dc/terms/" xmlns:xsi="http://www.w3.org/2001/XMLSchema-instance" xsi:type="dcterms:W3CDTF">2026-07-12T07:35:07Z</dcterms:modified>
</cp:coreProperties>
</file>